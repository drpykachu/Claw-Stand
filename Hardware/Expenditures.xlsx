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ntho\Documents\GitHub\Claw-Stand\Hardware\"/>
    </mc:Choice>
  </mc:AlternateContent>
  <xr:revisionPtr revIDLastSave="0" documentId="13_ncr:1_{FF9F3632-A1D9-4CC1-A02E-587450A957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1" l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D27" i="1" a="1"/>
  <c r="D27" i="1" s="1"/>
  <c r="E33" i="1" l="1"/>
  <c r="E32" i="1"/>
  <c r="E27" i="1"/>
  <c r="E28" i="1"/>
  <c r="E29" i="1"/>
  <c r="E30" i="1"/>
  <c r="E3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<sst xmlns="http://schemas.openxmlformats.org/spreadsheetml/2006/main" count="100" uniqueCount="64">
  <si>
    <t>Index</t>
  </si>
  <si>
    <t>Item</t>
  </si>
  <si>
    <t>Link</t>
  </si>
  <si>
    <t>Cost per unit</t>
  </si>
  <si>
    <t>Total Cost</t>
  </si>
  <si>
    <t>Quantity in Unit</t>
  </si>
  <si>
    <t>Raspberry Pi Camera Module 3</t>
  </si>
  <si>
    <t xml:space="preserve"> 28BYJ-48 ULN2003 5V Stepper Motor + ULN2003</t>
  </si>
  <si>
    <t>Units needed</t>
  </si>
  <si>
    <t>5 V 8–10 A Regulated DC Power Supply</t>
  </si>
  <si>
    <t>https://www.amazon.com/Cermant-100v-3-3uf-Electrolytic-Non-Polarized/dp/B0CZP2Q26M/ref=sr_1_1_sspa?crid=1S4LY4Q3I0NMV&amp;dib=eyJ2IjoiMSJ9.EZNhJejYBMre1IE5N7BUkhLTrQpWlxFIwQuP645tQgvNvria9GcICPjM4H0v6EJ8C6aoXVPtBCcG0Skp08yPycclIonCnhy19N2uXpfDNl7qWdXnQ4Rupkq-U8wAn-A4s07_lWAidc2_kGwfhXdDsw.4d7tuBIENMbg8x-MgGTqdpVoPsDrBRq3jL3UlS7Ea6w&amp;dib_tag=se&amp;keywords=Large+Electrolytic+Capacitor+%282200+%C2%B5F+%2F+10+V+or+more%29&amp;qid=1759879639&amp;s=electronics&amp;sprefix=large+electrolytic+capacitor+2200+%C2%B5f+%2F+10+v+or+more+%2Celectronics%2C306&amp;sr=1-1-spons&amp;sp_csd=d2lkZ2V0TmFtZT1zcF9hdGY&amp;psc=1</t>
  </si>
  <si>
    <t>PSU Capacitor</t>
  </si>
  <si>
    <t>https://www.amazon.com/PHEVOS-Universal-Switching-Raspberry-Computer/dp/B07H5Q2PC2/ref=sr_1_7?dib=eyJ2IjoiMSJ9.I1E0J_Q3he4nqddNt4k3vRz22Z6aYMX7ihqRF__n0hwsd_sYRwVFAk1dA93T_gtWaw3L89ioV77BrP0UeVBAY8vkrtBAIqTxrFcHDC33OU4Cs7T1SA3CoLH-9144AhOaKeF8adrwIwKJ4wzdDZm2EEbCID6NkIzc6qn-q02GjWMKSofen5_72EDN9SaSMW4V03xuBxk05JEDBWP_uHKSwfN_83DaKw8TTLZBLSVvcnU.y_0dPniNKxbXujpH28HYSYhV8cufXb0hztcWKa219_Q&amp;dib_tag=se&amp;hvadid=694085195674&amp;hvdev=c&amp;hvexpln=67&amp;hvlocphy=9033316&amp;hvnetw=g&amp;hvocijid=3724453681114200296--&amp;hvqmt=e&amp;hvrand=3724453681114200296&amp;hvtargid=kwd-354300962281&amp;hydadcr=18889_13353593&amp;keywords=5v+8a+power+adapter&amp;mcid=47c7b02258aa30debf8afadab1ec9f6c&amp;qid=1759879810&amp;sr=8-7</t>
  </si>
  <si>
    <t>https://www.amazon.com/ESP32-DevKitC-32-Development-Supporting-Bluetooth-Interface/dp/B0DYDN5X1Z/ref=sr_1_2_sspa?crid=1JSM8WUSBBNL8&amp;dib=eyJ2IjoiMSJ9.SvOT12eobVZoFJsI4AO5i7eOvIfEbOG8dRquYJDV3XFfdoXy9-UEb-OMBnGBIeSlqXTSwA8Du8FNzFyMUieqbMWu60rml5mmIpx13KwppIGO6GNKP0piwkqFLdbA0ckpn13NTPxpJvMlSqFL1ayHcbc1bgZjwm3OBwOiBGIUnKVZctuP9PFkLdk8WzY9l_6ZMhdZs_c5T662ooMZ3WvSqPkc0kllNRBNZ1PDE-hMu_0.JcNprxtH526RHPA0I1anCNR5zoRyT47V9yfeF7AwJqA&amp;dib_tag=se&amp;keywords=esp32+devit&amp;qid=1759879521&amp;sprefix=esp32+devit%2Caps%2C212&amp;sr=8-2-spons&amp;sp_csd=d2lkZ2V0TmFtZT1zcF9hdGY&amp;psc=1</t>
  </si>
  <si>
    <t>https://www.amazon.com/Android-Compatible-Smartphones-Charging-Stations/dp/B095JZSHXQ/ref=sr_1_1_sspa?crid=3LLJZNSSSES9O&amp;dib=eyJ2IjoiMSJ9.zJn3Xu4aprfpXzahvg_KfScHPVju7E71FoC4hUeDSPzsrpgh4jzPGkodqekj5IFQcb2LxyjBMybkw9Ykb2F1AUlNq4vNcXulDBQNmRBSk4Jdmolf5HP9TQFBviWpSmnm9NKJ1xSVU3WD49_4JYx_nT6B6MKYpxqzqTY2sd-FfcqZU2YSkHU9UeQ34WomicXFRY0VK7Yos_kHL5OXn25-WA2go4QePrEi4krkOUVwhKs.oYNmLBuk7YBH43s_Ppz4FrifF3JRSbdOB0iV96HYCcg&amp;dib_tag=se&amp;keywords=micro%2Busb%2Bcables&amp;qid=1759879930&amp;sprefix=microusb%2Bcables%2Blogic%2Caps%2C199&amp;sr=8-1-spons&amp;sp_csd=d2lkZ2V0TmFtZT1zcF9hdGY&amp;th=1</t>
  </si>
  <si>
    <t>Powered USB Hub (&lt;3 ports)</t>
  </si>
  <si>
    <t>https://www.amazon.com/Arducam-Raspberry-Camera-Autofocus-15-22pin/dp/B0C9PYCV9S/ref=sr_1_1?crid=3VTVF694JZXIK&amp;dib=eyJ2IjoiMSJ9.xTArEZO8fJchsBqfEgy9_xgLme-KmMNJcSTdyGvAqI3Yx3XolPejNcOdtLQO-4aNCkvX_v3yFi40jEsQSEfqeCBkCQD_FLK-vRTINor00rnPa8-EnRwS6y8zSCfO-LOlQksR4f6SFusctsgcKNg8VYqNYieCtBmVTctCqshKTt9MzYNGJrPv2QwZNLamwuCza1t8ZTBHCLb-fcz2os13MVqCJbyQGTyM-jSPQwP-fTA.X268W8vOfHjZTWTjWyrwIOMxWQW-vERIKarh9KCNIRs&amp;dib_tag=se&amp;keywords=Raspberry+Pi+Camera+Module+3&amp;qid=1759880310&amp;sprefix=raspberry+pi+camera+module+3%2Caps%2C182&amp;sr=8-1</t>
  </si>
  <si>
    <t>https://www.amazon.com/RSHTECH-Splitter-Portable-Aluminum-Individual/dp/B07HMZSRS7?utm_source=chatgpt.com&amp;th=1</t>
  </si>
  <si>
    <t xml:space="preserve">C14 Panel Mount Plug Adapter </t>
  </si>
  <si>
    <t>USB C cables</t>
  </si>
  <si>
    <t>ESP32 DevkitC</t>
  </si>
  <si>
    <t>Raspberry Pi 4 Model B Kit</t>
  </si>
  <si>
    <t>https://www.amazon.com/dp/B07PVP7GL2?ref=ppx_yo2ov_dt_b_fed_asin_title&amp;th=1</t>
  </si>
  <si>
    <t>Female to Female Breadboard Jumper Wires</t>
  </si>
  <si>
    <t>https://www.amazon.com/dp/B07GCY6CH7?ref=ppx_yo2ov_dt_b_fed_asin_title</t>
  </si>
  <si>
    <t>https://www.amazon.com/dp/B07XTQL6YZ?ref=ppx_yo2ov_dt_b_fed_asin_title&amp;th=1</t>
  </si>
  <si>
    <t>4-40 bolts</t>
  </si>
  <si>
    <t>4-40 threaded inserts</t>
  </si>
  <si>
    <t>https://www.amazon.com/dp/B0DY6P1K41?ref=ppx_yo2ov_dt_b_fed_asin_title</t>
  </si>
  <si>
    <t>https://www.amazon.com/dp/B0F93L5MJK?ref=ppx_yo2ov_dt_b_fed_asin_title</t>
  </si>
  <si>
    <t>12V power supply</t>
  </si>
  <si>
    <t>https://www.amazon.com/dp/B0D476TCVW?ref=ppx_yo2ov_dt_b_fed_asin_title</t>
  </si>
  <si>
    <t>Stepper motor driver</t>
  </si>
  <si>
    <t>https://www.amazon.com/dp/B0CP92T4QR?ref=ppx_yo2ov_dt_b_fed_asin_title</t>
  </si>
  <si>
    <t>https://www.amazon.com/dp/B0832SK397?ref=ppx_yo2ov_dt_b_fed_asin_title</t>
  </si>
  <si>
    <t>Power supply adjustable</t>
  </si>
  <si>
    <t>https://www.amazon.com/dp/B0D2TLJP3D?ref=ppx_yo2ov_dt_b_fed_asin_title</t>
  </si>
  <si>
    <t>Flanged bushings</t>
  </si>
  <si>
    <t>https://www.amazon.com/dp/B0FHQ63MS3?ref=ppx_yo2ov_dt_b_fed_asin_title</t>
  </si>
  <si>
    <t>ST09 Servos</t>
  </si>
  <si>
    <t>https://www.amazon.com/dp/B0C3QGLGB8?ref=ppx_yo2ov_dt_b_fed_asin_title</t>
  </si>
  <si>
    <t>Servo driver</t>
  </si>
  <si>
    <t>https://www.amazon.com/dp/B0D1R4SGFS?ref=ppx_yo2ov_dt_b_fed_asin_title&amp;th=1</t>
  </si>
  <si>
    <t>ST3215 Servo</t>
  </si>
  <si>
    <t>https://www.amazon.com/dp/B0FKY4Z15R?ref=ppx_yo2ov_dt_b_fed_asin_title</t>
  </si>
  <si>
    <t>PLA Filament</t>
  </si>
  <si>
    <t>https://www.amazon.com/your-orders/orders?startIndex=0&amp;ref_=ppx_yo2ov_dt_b_pagination_2_1</t>
  </si>
  <si>
    <t>Item Type</t>
  </si>
  <si>
    <t>Logic</t>
  </si>
  <si>
    <t>Motor</t>
  </si>
  <si>
    <t>Power</t>
  </si>
  <si>
    <t>Structure</t>
  </si>
  <si>
    <t>Tool</t>
  </si>
  <si>
    <t>Used in Final</t>
  </si>
  <si>
    <t>Yes</t>
  </si>
  <si>
    <t>No</t>
  </si>
  <si>
    <t>Breakdown:</t>
  </si>
  <si>
    <t>Category</t>
  </si>
  <si>
    <t>Cost</t>
  </si>
  <si>
    <t>Total</t>
  </si>
  <si>
    <t>Perfect</t>
  </si>
  <si>
    <t>https://www.amazon.com/28BYJ-48-ULN2003-Stepper-Driver-Arduino/dp/B07YRHX73L</t>
  </si>
  <si>
    <t>Amount needed</t>
  </si>
  <si>
    <t>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</si>
</sst>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2" fillId="0" borderId="2" xfId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Border="1"/>
    <xf numFmtId="1" fontId="0" fillId="0" borderId="2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1" fontId="0" fillId="0" borderId="3" xfId="0" applyNumberFormat="1" applyFill="1" applyBorder="1" applyAlignment="1">
      <alignment horizontal="center"/>
    </xf>
    <xf numFmtId="0" fontId="0" fillId="0" borderId="3" xfId="0" applyBorder="1"/>
    <xf numFmtId="0" fontId="0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Border="1" applyAlignment="1"/>
    <xf numFmtId="0" fontId="0" fillId="0" borderId="0" xfId="0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mazon.com/Arducam-Raspberry-Camera-Autofocus-15-22pin/dp/B0C9PYCV9S/ref=sr_1_1?crid=3VTVF694JZXIK&amp;dib=eyJ2IjoiMSJ9.xTArEZO8fJchsBqfEgy9_xgLme-KmMNJcSTdyGvAqI3Yx3XolPejNcOdtLQO-4aNCkvX_v3yFi40jEsQSEfqeCBkCQD_FLK-vRTINor00rnPa8-EnRwS6y8zSCfO-LOlQksR4f6SFusctsgcKNg8VYqNYieCtBmVTctCqshKTt9MzYNGJrPv2QwZNLamwuCza1t8ZTBHCLb-fcz2os13MVqCJbyQGTyM-jSPQwP-fTA.X268W8vOfHjZTWTjWyrwIOMxWQW-vERIKarh9KCNIRs&amp;dib_tag=se&amp;keywords=Raspberry+Pi+Camera+Module+3&amp;qid=1759880310&amp;sprefix=raspberry+pi+camera+module+3%2Caps%2C182&amp;sr=8-1" TargetMode="External"/><Relationship Id="rId1" Type="http://schemas.openxmlformats.org/officeDocument/2006/relationships/hyperlink" Target="https://www.amazon.com/dp/B07XTQL6YZ?ref=ppx_yo2ov_dt_b_fed_asin_title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4"/>
  <sheetViews>
    <sheetView tabSelected="1" workbookViewId="0">
      <selection activeCell="G29" sqref="G29"/>
    </sheetView>
  </sheetViews>
  <sheetFormatPr defaultRowHeight="14.4" x14ac:dyDescent="0.3"/>
  <cols>
    <col min="1" max="2" width="8.88671875" style="8"/>
    <col min="3" max="3" width="43.5546875" style="8" bestFit="1" customWidth="1"/>
    <col min="4" max="4" width="15.109375" style="8" bestFit="1" customWidth="1"/>
    <col min="5" max="5" width="15.109375" style="8" customWidth="1"/>
    <col min="6" max="6" width="12.33203125" style="8" bestFit="1" customWidth="1"/>
    <col min="7" max="7" width="11.6640625" style="8" bestFit="1" customWidth="1"/>
    <col min="8" max="8" width="9.6640625" style="8" customWidth="1"/>
    <col min="9" max="9" width="14.44140625" style="8" bestFit="1" customWidth="1"/>
    <col min="10" max="10" width="11.5546875" style="8" bestFit="1" customWidth="1"/>
    <col min="11" max="16384" width="8.88671875" style="8"/>
  </cols>
  <sheetData>
    <row r="2" spans="2:11" x14ac:dyDescent="0.3">
      <c r="B2" s="4" t="s">
        <v>0</v>
      </c>
      <c r="C2" s="4" t="s">
        <v>1</v>
      </c>
      <c r="D2" s="4" t="s">
        <v>62</v>
      </c>
      <c r="E2" s="4" t="s">
        <v>5</v>
      </c>
      <c r="F2" s="4" t="s">
        <v>8</v>
      </c>
      <c r="G2" s="4" t="s">
        <v>3</v>
      </c>
      <c r="H2" s="4" t="s">
        <v>4</v>
      </c>
      <c r="I2" s="4" t="s">
        <v>47</v>
      </c>
      <c r="J2" s="4" t="s">
        <v>53</v>
      </c>
      <c r="K2" s="4" t="s">
        <v>2</v>
      </c>
    </row>
    <row r="3" spans="2:11" x14ac:dyDescent="0.3">
      <c r="B3" s="1">
        <v>1</v>
      </c>
      <c r="C3" s="1" t="s">
        <v>21</v>
      </c>
      <c r="D3" s="1">
        <v>1</v>
      </c>
      <c r="E3" s="1">
        <v>1</v>
      </c>
      <c r="F3" s="1">
        <f>_xlfn.CEILING.MATH(D3/E3)</f>
        <v>1</v>
      </c>
      <c r="G3" s="1">
        <v>119.99</v>
      </c>
      <c r="H3" s="1">
        <f>F3*G3</f>
        <v>119.99</v>
      </c>
      <c r="I3" s="1" t="s">
        <v>48</v>
      </c>
      <c r="J3" s="2" t="s">
        <v>54</v>
      </c>
      <c r="K3" s="6" t="s">
        <v>25</v>
      </c>
    </row>
    <row r="4" spans="2:11" x14ac:dyDescent="0.3">
      <c r="B4" s="1">
        <v>2</v>
      </c>
      <c r="C4" s="1" t="s">
        <v>6</v>
      </c>
      <c r="D4" s="1">
        <v>1</v>
      </c>
      <c r="E4" s="1">
        <v>1</v>
      </c>
      <c r="F4" s="1">
        <f>_xlfn.CEILING.MATH(D4/E4)</f>
        <v>1</v>
      </c>
      <c r="G4" s="1">
        <v>18.5</v>
      </c>
      <c r="H4" s="1">
        <f t="shared" ref="H4:H23" si="0">F4*G4</f>
        <v>18.5</v>
      </c>
      <c r="I4" s="1" t="s">
        <v>48</v>
      </c>
      <c r="J4" s="2" t="s">
        <v>54</v>
      </c>
      <c r="K4" s="6" t="s">
        <v>16</v>
      </c>
    </row>
    <row r="5" spans="2:11" x14ac:dyDescent="0.3">
      <c r="B5" s="1">
        <v>3</v>
      </c>
      <c r="C5" s="1" t="s">
        <v>15</v>
      </c>
      <c r="D5" s="1">
        <v>1</v>
      </c>
      <c r="E5" s="1">
        <v>1</v>
      </c>
      <c r="F5" s="1">
        <f>_xlfn.CEILING.MATH(D5/E5)</f>
        <v>1</v>
      </c>
      <c r="G5" s="1">
        <v>7.99</v>
      </c>
      <c r="H5" s="1">
        <f t="shared" si="0"/>
        <v>7.99</v>
      </c>
      <c r="I5" s="1" t="s">
        <v>48</v>
      </c>
      <c r="J5" s="2" t="s">
        <v>55</v>
      </c>
      <c r="K5" s="5" t="s">
        <v>17</v>
      </c>
    </row>
    <row r="6" spans="2:11" x14ac:dyDescent="0.3">
      <c r="B6" s="1">
        <v>4</v>
      </c>
      <c r="C6" s="1" t="s">
        <v>20</v>
      </c>
      <c r="D6" s="1">
        <v>1</v>
      </c>
      <c r="E6" s="1">
        <v>3</v>
      </c>
      <c r="F6" s="1">
        <f>_xlfn.CEILING.MATH(D6/E6)</f>
        <v>1</v>
      </c>
      <c r="G6" s="1">
        <v>17.97</v>
      </c>
      <c r="H6" s="1">
        <f t="shared" si="0"/>
        <v>17.97</v>
      </c>
      <c r="I6" s="1" t="s">
        <v>48</v>
      </c>
      <c r="J6" s="2" t="s">
        <v>54</v>
      </c>
      <c r="K6" s="5" t="s">
        <v>13</v>
      </c>
    </row>
    <row r="7" spans="2:11" x14ac:dyDescent="0.3">
      <c r="B7" s="1">
        <v>5</v>
      </c>
      <c r="C7" s="1" t="s">
        <v>19</v>
      </c>
      <c r="D7" s="1">
        <v>1</v>
      </c>
      <c r="E7" s="1">
        <v>5</v>
      </c>
      <c r="F7" s="1">
        <f>_xlfn.CEILING.MATH(D7/E7)</f>
        <v>1</v>
      </c>
      <c r="G7" s="1">
        <v>7.99</v>
      </c>
      <c r="H7" s="1">
        <f t="shared" si="0"/>
        <v>7.99</v>
      </c>
      <c r="I7" s="1" t="s">
        <v>48</v>
      </c>
      <c r="J7" s="2" t="s">
        <v>55</v>
      </c>
      <c r="K7" s="5" t="s">
        <v>14</v>
      </c>
    </row>
    <row r="8" spans="2:11" x14ac:dyDescent="0.3">
      <c r="B8" s="1">
        <v>6</v>
      </c>
      <c r="C8" s="1" t="s">
        <v>7</v>
      </c>
      <c r="D8" s="1">
        <v>5</v>
      </c>
      <c r="E8" s="1">
        <v>5</v>
      </c>
      <c r="F8" s="1">
        <f>_xlfn.CEILING.MATH(D8/E8)</f>
        <v>1</v>
      </c>
      <c r="G8" s="1">
        <v>14.99</v>
      </c>
      <c r="H8" s="1">
        <f t="shared" si="0"/>
        <v>14.99</v>
      </c>
      <c r="I8" s="1" t="s">
        <v>49</v>
      </c>
      <c r="J8" s="2" t="s">
        <v>55</v>
      </c>
      <c r="K8" s="5" t="s">
        <v>61</v>
      </c>
    </row>
    <row r="9" spans="2:11" x14ac:dyDescent="0.3">
      <c r="B9" s="1">
        <v>7</v>
      </c>
      <c r="C9" s="1" t="s">
        <v>23</v>
      </c>
      <c r="D9" s="1">
        <v>120</v>
      </c>
      <c r="E9" s="1">
        <v>120</v>
      </c>
      <c r="F9" s="1">
        <f>_xlfn.CEILING.MATH(D9/E9)</f>
        <v>1</v>
      </c>
      <c r="G9" s="1">
        <v>7.98</v>
      </c>
      <c r="H9" s="1">
        <f t="shared" si="0"/>
        <v>7.98</v>
      </c>
      <c r="I9" s="1" t="s">
        <v>49</v>
      </c>
      <c r="J9" s="2" t="s">
        <v>55</v>
      </c>
      <c r="K9" s="5" t="s">
        <v>24</v>
      </c>
    </row>
    <row r="10" spans="2:11" ht="15" customHeight="1" x14ac:dyDescent="0.3">
      <c r="B10" s="1">
        <v>8</v>
      </c>
      <c r="C10" s="1" t="s">
        <v>9</v>
      </c>
      <c r="D10" s="1">
        <v>1</v>
      </c>
      <c r="E10" s="1">
        <v>1</v>
      </c>
      <c r="F10" s="1">
        <f>_xlfn.CEILING.MATH(D10/E10)</f>
        <v>1</v>
      </c>
      <c r="G10" s="1">
        <v>14.99</v>
      </c>
      <c r="H10" s="1">
        <f t="shared" si="0"/>
        <v>14.99</v>
      </c>
      <c r="I10" s="1" t="s">
        <v>50</v>
      </c>
      <c r="J10" s="2" t="s">
        <v>55</v>
      </c>
      <c r="K10" s="5" t="s">
        <v>12</v>
      </c>
    </row>
    <row r="11" spans="2:11" x14ac:dyDescent="0.3">
      <c r="B11" s="1">
        <v>9</v>
      </c>
      <c r="C11" s="1" t="s">
        <v>11</v>
      </c>
      <c r="D11" s="1">
        <v>1</v>
      </c>
      <c r="E11" s="1">
        <v>2</v>
      </c>
      <c r="F11" s="1">
        <f>_xlfn.CEILING.MATH(D11/E11)</f>
        <v>1</v>
      </c>
      <c r="G11" s="1">
        <v>7.99</v>
      </c>
      <c r="H11" s="1">
        <f t="shared" si="0"/>
        <v>7.99</v>
      </c>
      <c r="I11" s="1" t="s">
        <v>50</v>
      </c>
      <c r="J11" s="2" t="s">
        <v>55</v>
      </c>
      <c r="K11" s="5" t="s">
        <v>10</v>
      </c>
    </row>
    <row r="12" spans="2:11" x14ac:dyDescent="0.3">
      <c r="B12" s="1">
        <v>10</v>
      </c>
      <c r="C12" s="1" t="s">
        <v>18</v>
      </c>
      <c r="D12" s="1">
        <v>1</v>
      </c>
      <c r="E12" s="1">
        <v>2</v>
      </c>
      <c r="F12" s="1">
        <f>_xlfn.CEILING.MATH(D12/E12)</f>
        <v>1</v>
      </c>
      <c r="G12" s="1">
        <v>7.79</v>
      </c>
      <c r="H12" s="1">
        <f t="shared" si="0"/>
        <v>7.79</v>
      </c>
      <c r="I12" s="1" t="s">
        <v>50</v>
      </c>
      <c r="J12" s="2" t="s">
        <v>54</v>
      </c>
      <c r="K12" s="5" t="s">
        <v>22</v>
      </c>
    </row>
    <row r="13" spans="2:11" x14ac:dyDescent="0.3">
      <c r="B13" s="10">
        <v>11</v>
      </c>
      <c r="C13" s="10" t="s">
        <v>26</v>
      </c>
      <c r="D13" s="10">
        <v>5</v>
      </c>
      <c r="E13" s="10">
        <v>100</v>
      </c>
      <c r="F13" s="1">
        <f>_xlfn.CEILING.MATH(D13/E13)</f>
        <v>1</v>
      </c>
      <c r="G13" s="10">
        <v>6.27</v>
      </c>
      <c r="H13" s="1">
        <f t="shared" si="0"/>
        <v>6.27</v>
      </c>
      <c r="I13" s="10" t="s">
        <v>51</v>
      </c>
      <c r="J13" s="2" t="s">
        <v>54</v>
      </c>
      <c r="K13" s="11" t="s">
        <v>29</v>
      </c>
    </row>
    <row r="14" spans="2:11" x14ac:dyDescent="0.3">
      <c r="B14" s="1">
        <v>12</v>
      </c>
      <c r="C14" s="10" t="s">
        <v>27</v>
      </c>
      <c r="D14" s="10">
        <v>5</v>
      </c>
      <c r="E14" s="10">
        <v>100</v>
      </c>
      <c r="F14" s="1">
        <f>_xlfn.CEILING.MATH(D14/E14)</f>
        <v>1</v>
      </c>
      <c r="G14" s="10">
        <v>11.02</v>
      </c>
      <c r="H14" s="1">
        <f t="shared" si="0"/>
        <v>11.02</v>
      </c>
      <c r="I14" s="10" t="s">
        <v>51</v>
      </c>
      <c r="J14" s="2" t="s">
        <v>54</v>
      </c>
      <c r="K14" s="11" t="s">
        <v>28</v>
      </c>
    </row>
    <row r="15" spans="2:11" x14ac:dyDescent="0.3">
      <c r="B15" s="10">
        <v>13</v>
      </c>
      <c r="C15" s="10" t="s">
        <v>30</v>
      </c>
      <c r="D15" s="10">
        <v>1</v>
      </c>
      <c r="E15" s="10">
        <v>1</v>
      </c>
      <c r="F15" s="1">
        <f>_xlfn.CEILING.MATH(D15/E15)</f>
        <v>1</v>
      </c>
      <c r="G15" s="10">
        <v>8.4600000000000009</v>
      </c>
      <c r="H15" s="1">
        <f t="shared" si="0"/>
        <v>8.4600000000000009</v>
      </c>
      <c r="I15" s="1" t="s">
        <v>50</v>
      </c>
      <c r="J15" s="2" t="s">
        <v>54</v>
      </c>
      <c r="K15" s="11" t="s">
        <v>31</v>
      </c>
    </row>
    <row r="16" spans="2:11" x14ac:dyDescent="0.3">
      <c r="B16" s="1">
        <v>14</v>
      </c>
      <c r="C16" s="10" t="s">
        <v>32</v>
      </c>
      <c r="D16" s="10">
        <v>1</v>
      </c>
      <c r="E16" s="10">
        <v>1</v>
      </c>
      <c r="F16" s="1">
        <f>_xlfn.CEILING.MATH(D16/E16)</f>
        <v>1</v>
      </c>
      <c r="G16" s="10">
        <v>13.23</v>
      </c>
      <c r="H16" s="1">
        <f t="shared" si="0"/>
        <v>13.23</v>
      </c>
      <c r="I16" s="10" t="s">
        <v>49</v>
      </c>
      <c r="J16" s="12" t="s">
        <v>55</v>
      </c>
      <c r="K16" s="11" t="s">
        <v>33</v>
      </c>
    </row>
    <row r="17" spans="2:11" x14ac:dyDescent="0.3">
      <c r="B17" s="10">
        <v>15</v>
      </c>
      <c r="C17" s="10" t="s">
        <v>32</v>
      </c>
      <c r="D17" s="10">
        <v>1</v>
      </c>
      <c r="E17" s="10">
        <v>1</v>
      </c>
      <c r="F17" s="1">
        <f>_xlfn.CEILING.MATH(D17/E17)</f>
        <v>1</v>
      </c>
      <c r="G17" s="10">
        <v>17.64</v>
      </c>
      <c r="H17" s="1">
        <f t="shared" si="0"/>
        <v>17.64</v>
      </c>
      <c r="I17" s="10" t="s">
        <v>49</v>
      </c>
      <c r="J17" s="12" t="s">
        <v>55</v>
      </c>
      <c r="K17" s="11" t="s">
        <v>34</v>
      </c>
    </row>
    <row r="18" spans="2:11" x14ac:dyDescent="0.3">
      <c r="B18" s="1">
        <v>16</v>
      </c>
      <c r="C18" s="10" t="s">
        <v>35</v>
      </c>
      <c r="D18" s="10">
        <v>1</v>
      </c>
      <c r="E18" s="10">
        <v>1</v>
      </c>
      <c r="F18" s="1">
        <f>_xlfn.CEILING.MATH(D18/E18)</f>
        <v>1</v>
      </c>
      <c r="G18" s="10">
        <v>48.21</v>
      </c>
      <c r="H18" s="1">
        <f t="shared" si="0"/>
        <v>48.21</v>
      </c>
      <c r="I18" s="10" t="s">
        <v>52</v>
      </c>
      <c r="J18" s="12" t="s">
        <v>55</v>
      </c>
      <c r="K18" s="11" t="s">
        <v>36</v>
      </c>
    </row>
    <row r="19" spans="2:11" x14ac:dyDescent="0.3">
      <c r="B19" s="10">
        <v>17</v>
      </c>
      <c r="C19" s="10" t="s">
        <v>37</v>
      </c>
      <c r="D19" s="10">
        <v>1</v>
      </c>
      <c r="E19" s="10">
        <v>1</v>
      </c>
      <c r="F19" s="1">
        <f>_xlfn.CEILING.MATH(D19/E19)</f>
        <v>1</v>
      </c>
      <c r="G19" s="10">
        <v>7.16</v>
      </c>
      <c r="H19" s="1">
        <f t="shared" si="0"/>
        <v>7.16</v>
      </c>
      <c r="I19" s="10" t="s">
        <v>51</v>
      </c>
      <c r="J19" s="12" t="s">
        <v>55</v>
      </c>
      <c r="K19" s="11" t="s">
        <v>38</v>
      </c>
    </row>
    <row r="20" spans="2:11" x14ac:dyDescent="0.3">
      <c r="B20" s="1">
        <v>18</v>
      </c>
      <c r="C20" s="10" t="s">
        <v>39</v>
      </c>
      <c r="D20" s="10">
        <v>3</v>
      </c>
      <c r="E20" s="10">
        <v>1</v>
      </c>
      <c r="F20" s="1">
        <f>_xlfn.CEILING.MATH(D20/E20)</f>
        <v>3</v>
      </c>
      <c r="G20" s="10">
        <v>15.99</v>
      </c>
      <c r="H20" s="1">
        <f t="shared" si="0"/>
        <v>47.97</v>
      </c>
      <c r="I20" s="10" t="s">
        <v>49</v>
      </c>
      <c r="J20" s="12" t="s">
        <v>55</v>
      </c>
      <c r="K20" s="11" t="s">
        <v>40</v>
      </c>
    </row>
    <row r="21" spans="2:11" x14ac:dyDescent="0.3">
      <c r="B21" s="10">
        <v>19</v>
      </c>
      <c r="C21" s="10" t="s">
        <v>41</v>
      </c>
      <c r="D21" s="10">
        <v>1</v>
      </c>
      <c r="E21" s="10">
        <v>1</v>
      </c>
      <c r="F21" s="1">
        <f>_xlfn.CEILING.MATH(D21/E21)</f>
        <v>1</v>
      </c>
      <c r="G21" s="10">
        <v>19.190000000000001</v>
      </c>
      <c r="H21" s="1">
        <f t="shared" si="0"/>
        <v>19.190000000000001</v>
      </c>
      <c r="I21" s="1" t="s">
        <v>48</v>
      </c>
      <c r="J21" s="12" t="s">
        <v>54</v>
      </c>
      <c r="K21" s="11" t="s">
        <v>42</v>
      </c>
    </row>
    <row r="22" spans="2:11" x14ac:dyDescent="0.3">
      <c r="B22" s="1">
        <v>20</v>
      </c>
      <c r="C22" s="10" t="s">
        <v>43</v>
      </c>
      <c r="D22" s="10">
        <v>15</v>
      </c>
      <c r="E22" s="10">
        <v>1</v>
      </c>
      <c r="F22" s="1">
        <f>_xlfn.CEILING.MATH(D22/E22)</f>
        <v>15</v>
      </c>
      <c r="G22" s="10">
        <v>26.99</v>
      </c>
      <c r="H22" s="1">
        <f t="shared" si="0"/>
        <v>404.84999999999997</v>
      </c>
      <c r="I22" s="10" t="s">
        <v>49</v>
      </c>
      <c r="J22" s="12" t="s">
        <v>54</v>
      </c>
      <c r="K22" s="11" t="s">
        <v>44</v>
      </c>
    </row>
    <row r="23" spans="2:11" x14ac:dyDescent="0.3">
      <c r="B23" s="13">
        <v>21</v>
      </c>
      <c r="C23" s="13" t="s">
        <v>45</v>
      </c>
      <c r="D23" s="13">
        <v>1</v>
      </c>
      <c r="E23" s="13">
        <v>1</v>
      </c>
      <c r="F23" s="3">
        <f>_xlfn.CEILING.MATH(D23/E23)</f>
        <v>1</v>
      </c>
      <c r="G23" s="13">
        <v>14.91</v>
      </c>
      <c r="H23" s="3">
        <f t="shared" si="0"/>
        <v>14.91</v>
      </c>
      <c r="I23" s="13" t="s">
        <v>51</v>
      </c>
      <c r="J23" s="14" t="s">
        <v>54</v>
      </c>
      <c r="K23" s="15" t="s">
        <v>46</v>
      </c>
    </row>
    <row r="24" spans="2:11" x14ac:dyDescent="0.3">
      <c r="B24" s="9"/>
    </row>
    <row r="25" spans="2:11" x14ac:dyDescent="0.3">
      <c r="D25" s="18" t="s">
        <v>56</v>
      </c>
      <c r="E25" s="19"/>
    </row>
    <row r="26" spans="2:11" x14ac:dyDescent="0.3">
      <c r="D26" s="17" t="s">
        <v>57</v>
      </c>
      <c r="E26" s="4" t="s">
        <v>58</v>
      </c>
    </row>
    <row r="27" spans="2:11" x14ac:dyDescent="0.3">
      <c r="D27" s="1" t="str" cm="1">
        <f t="array" ref="D27:D31">_xlfn.UNIQUE(I3:I23)</f>
        <v>Logic</v>
      </c>
      <c r="E27" s="1">
        <f>SUMIF(I2:$I$23,D27,H2:$H$23)</f>
        <v>191.63000000000002</v>
      </c>
    </row>
    <row r="28" spans="2:11" x14ac:dyDescent="0.3">
      <c r="D28" s="1" t="str">
        <v>Motor</v>
      </c>
      <c r="E28" s="1">
        <f>SUMIF(I3:$I$23,D28,H3:$H$23)</f>
        <v>506.65999999999997</v>
      </c>
    </row>
    <row r="29" spans="2:11" x14ac:dyDescent="0.3">
      <c r="D29" s="1" t="str">
        <v>Power</v>
      </c>
      <c r="E29" s="1">
        <f>SUMIF(I4:$I$23,D29,H4:$H$23)</f>
        <v>39.230000000000004</v>
      </c>
    </row>
    <row r="30" spans="2:11" x14ac:dyDescent="0.3">
      <c r="D30" s="1" t="str">
        <v>Structure</v>
      </c>
      <c r="E30" s="1">
        <f>SUMIF(I5:$I$23,D30,H5:$H$23)</f>
        <v>39.36</v>
      </c>
    </row>
    <row r="31" spans="2:11" x14ac:dyDescent="0.3">
      <c r="D31" s="1" t="str">
        <v>Tool</v>
      </c>
      <c r="E31" s="1">
        <f>SUMIF(I6:$I$23,D31,H6:$H$23)</f>
        <v>48.21</v>
      </c>
    </row>
    <row r="32" spans="2:11" x14ac:dyDescent="0.3">
      <c r="D32" s="16" t="s">
        <v>59</v>
      </c>
      <c r="E32" s="16">
        <f>SUM(H3:H23)</f>
        <v>825.09</v>
      </c>
    </row>
    <row r="33" spans="4:6" x14ac:dyDescent="0.3">
      <c r="D33" s="16" t="s">
        <v>60</v>
      </c>
      <c r="E33" s="16">
        <f>SUMIF(J3:$J$23,"Yes",H3:$H$23)</f>
        <v>628.94999999999993</v>
      </c>
      <c r="F33" s="7"/>
    </row>
    <row r="34" spans="4:6" x14ac:dyDescent="0.3">
      <c r="D34" s="16" t="s">
        <v>63</v>
      </c>
      <c r="E34" s="16">
        <f>E32-E33</f>
        <v>196.1400000000001</v>
      </c>
    </row>
  </sheetData>
  <hyperlinks>
    <hyperlink ref="K3" r:id="rId1" xr:uid="{7BFF79A8-A917-4415-A97C-D950B65041C6}"/>
    <hyperlink ref="K4" r:id="rId2" display="https://www.amazon.com/Arducam-Raspberry-Camera-Autofocus-15-22pin/dp/B0C9PYCV9S/ref=sr_1_1?crid=3VTVF694JZXIK&amp;dib=eyJ2IjoiMSJ9.xTArEZO8fJchsBqfEgy9_xgLme-KmMNJcSTdyGvAqI3Yx3XolPejNcOdtLQO-4aNCkvX_v3yFi40jEsQSEfqeCBkCQD_FLK-vRTINor00rnPa8-EnRwS6y8zSCfO-LOlQksR4f6SFusctsgcKNg8VYqNYieCtBmVTctCqshKTt9MzYNGJrPv2QwZNLamwuCza1t8ZTBHCLb-fcz2os13MVqCJbyQGTyM-jSPQwP-fTA.X268W8vOfHjZTWTjWyrwIOMxWQW-vERIKarh9KCNIRs&amp;dib_tag=se&amp;keywords=Raspberry+Pi+Camera+Module+3&amp;qid=1759880310&amp;sprefix=raspberry+pi+camera+module+3%2Caps%2C182&amp;sr=8-1" xr:uid="{0A52FCF8-55C6-4362-B201-3750B4CEEB1F}"/>
  </hyperlinks>
  <pageMargins left="0.7" right="0.7" top="0.75" bottom="0.75" header="0.3" footer="0.3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Pyka</dc:creator>
  <cp:lastModifiedBy>Anthony Pyka</cp:lastModifiedBy>
  <dcterms:created xsi:type="dcterms:W3CDTF">2015-06-05T18:17:20Z</dcterms:created>
  <dcterms:modified xsi:type="dcterms:W3CDTF">2026-01-29T17:37:59Z</dcterms:modified>
</cp:coreProperties>
</file>